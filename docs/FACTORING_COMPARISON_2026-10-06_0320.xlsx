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Cost Calculator" sheetId="2" state="visible" r:id="rId4"/>
    <sheet name="Questions &amp; Gov Rules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<sst xmlns="http://schemas.openxmlformats.org/spreadsheetml/2006/main" count="148" uniqueCount="128">
  <si>
    <t xml:space="preserve">Handled Services LLC: Invoice Factoring Comparison</t>
  </si>
  <si>
    <t xml:space="preserve">FILE: docs/FACTORING_COMPARISON_2026-10-06_0320.xlsx  |  CREATED: 2026-10-06_0320 UTC  |  PROJECT: Handled (myhumanai)</t>
  </si>
  <si>
    <t xml:space="preserve">PURPOSE: Compare 5 factoring companies so weekly pro payouts are covered while business, city and government clients pay on net 30+.</t>
  </si>
  <si>
    <t xml:space="preserve">LEGEND: yellow cells = fill in from each company's quote. Blue text = typed facts from public websites (verify on the call). Fee % per 30 days is stored as a fraction (0.015 = 1.5%).</t>
  </si>
  <si>
    <t xml:space="preserve">Company</t>
  </si>
  <si>
    <t xml:space="preserve">Website</t>
  </si>
  <si>
    <t xml:space="preserve">Why it fits Handled</t>
  </si>
  <si>
    <t xml:space="preserve">Gov invoices (Fed / State / City)</t>
  </si>
  <si>
    <t xml:space="preserve">Advance rate (quote)</t>
  </si>
  <si>
    <t xml:space="preserve">Fee % per 30 days (quote)</t>
  </si>
  <si>
    <t xml:space="preserve">Days to first funding</t>
  </si>
  <si>
    <t xml:space="preserve">Recourse or non-recourse</t>
  </si>
  <si>
    <t xml:space="preserve">Monthly minimum volume</t>
  </si>
  <si>
    <t xml:space="preserve">Contract term / early-exit fee</t>
  </si>
  <si>
    <t xml:space="preserve">Spot factoring allowed?</t>
  </si>
  <si>
    <t xml:space="preserve">Other fees (setup, ACH, credit checks)</t>
  </si>
  <si>
    <t xml:space="preserve">Contact name / phone / email</t>
  </si>
  <si>
    <t xml:space="preserve">Date contacted</t>
  </si>
  <si>
    <t xml:space="preserve">Status</t>
  </si>
  <si>
    <t xml:space="preserve">Notes</t>
  </si>
  <si>
    <t xml:space="preserve">Advance Partners</t>
  </si>
  <si>
    <t xml:space="preserve">advancepartners.com/payroll-funding/government-staffing/</t>
  </si>
  <si>
    <t xml:space="preserve">Payroll funding for staffing on government contracts (incl. municipal); back office for payroll and billing. Best fit for weekly pro payouts.</t>
  </si>
  <si>
    <t xml:space="preserve">Not contacted</t>
  </si>
  <si>
    <t xml:space="preserve">1st Commercial Credit</t>
  </si>
  <si>
    <t xml:space="preserve">1stcommercialcredit.com/financial-services/government-receivables</t>
  </si>
  <si>
    <t xml:space="preserve">Dedicated government-receivables program plus staffing/payroll funding; works with small businesses.</t>
  </si>
  <si>
    <t xml:space="preserve">Porter Capital</t>
  </si>
  <si>
    <t xml:space="preserve">portercap.com/government-invoice-factoring</t>
  </si>
  <si>
    <t xml:space="preserve">Long-time government contractor factoring; covers service and staffing businesses.</t>
  </si>
  <si>
    <t xml:space="preserve">eCapital</t>
  </si>
  <si>
    <t xml:space="preserve">ecapital.com</t>
  </si>
  <si>
    <t xml:space="preserve">Large lender with government contractor financing; can grow into an asset-based credit line for bigger contracts.</t>
  </si>
  <si>
    <t xml:space="preserve">8A Factoring</t>
  </si>
  <si>
    <t xml:space="preserve">8afactoring.com</t>
  </si>
  <si>
    <t xml:space="preserve">Government invoices for small and 8(a)/minority-owned businesses; fits set-aside, MBE/DBE work.</t>
  </si>
  <si>
    <t xml:space="preserve">Example row (format only, not a real quote):</t>
  </si>
  <si>
    <t xml:space="preserve">Sample Factor Co.</t>
  </si>
  <si>
    <t xml:space="preserve">example.com</t>
  </si>
  <si>
    <t xml:space="preserve">Example of how to fill a row</t>
  </si>
  <si>
    <t xml:space="preserve">Fed + City</t>
  </si>
  <si>
    <t xml:space="preserve">Recourse</t>
  </si>
  <si>
    <t xml:space="preserve">$25,000</t>
  </si>
  <si>
    <t xml:space="preserve">12 mo / 3% exit</t>
  </si>
  <si>
    <t xml:space="preserve">Yes</t>
  </si>
  <si>
    <t xml:space="preserve">$300 setup</t>
  </si>
  <si>
    <t xml:space="preserve">J. Smith 313-555-0100</t>
  </si>
  <si>
    <t xml:space="preserve">Quote received</t>
  </si>
  <si>
    <t xml:space="preserve">Rate drops to 1.2% above $100K/mo</t>
  </si>
  <si>
    <t xml:space="preserve">Market reference: advances typically 80-90%; government receivables about 0.69%-1.59% per 30 days (United Capital Source). Net-30 invoices cost less to factor than net-60/90.</t>
  </si>
  <si>
    <t xml:space="preserve">Handled Services LLC: Factoring Cost Calculator</t>
  </si>
  <si>
    <t xml:space="preserve">PURPOSE: Compare total cost on the same sample invoice once quotes come in.</t>
  </si>
  <si>
    <t xml:space="preserve">LEGEND: yellow = inputs you can change. Green = pulled from the Comparison tab. Black = formulas.</t>
  </si>
  <si>
    <t xml:space="preserve">Sample invoice amount ($)</t>
  </si>
  <si>
    <t xml:space="preserve">Assumption: placeholder. Use a real invoice from a current client.</t>
  </si>
  <si>
    <t xml:space="preserve">Days until client pays</t>
  </si>
  <si>
    <t xml:space="preserve">Net 30 = 30. Cities often pay in 45-60.</t>
  </si>
  <si>
    <t xml:space="preserve">Fee billing increment (days)</t>
  </si>
  <si>
    <t xml:space="preserve">Most factors charge per 30 days (some per 10 or 15). Confirm with each.</t>
  </si>
  <si>
    <t xml:space="preserve">Flat fees per invoice ($)</t>
  </si>
  <si>
    <t xml:space="preserve">Add any per-invoice ACH or processing fees.</t>
  </si>
  <si>
    <t xml:space="preserve">Advance rate</t>
  </si>
  <si>
    <t xml:space="preserve">Fee % per period</t>
  </si>
  <si>
    <t xml:space="preserve">Fee periods</t>
  </si>
  <si>
    <t xml:space="preserve">Cash up front ($)</t>
  </si>
  <si>
    <t xml:space="preserve">Factoring fee ($)</t>
  </si>
  <si>
    <t xml:space="preserve">Total cost ($)</t>
  </si>
  <si>
    <t xml:space="preserve">Cost as % of invoice</t>
  </si>
  <si>
    <t xml:space="preserve">Effective annual rate</t>
  </si>
  <si>
    <t xml:space="preserve">Rebate when client pays ($)</t>
  </si>
  <si>
    <t xml:space="preserve">Example (85% / 1.5%)</t>
  </si>
  <si>
    <t xml:space="preserve">How to read it: 'Cash up front' is what lands in the bank in 1-2 days and covers that week's pro payouts. 'Rebate' is the rest, paid after the client pays the factor. 'Effective annual rate' compares factoring with a bank line of credit.</t>
  </si>
  <si>
    <t xml:space="preserve">Example row uses typical market terms (85% advance, 1.5% per 30 days) for illustration only; it is not a quote.</t>
  </si>
  <si>
    <t xml:space="preserve">Handled Services LLC: Questions to Ask &amp; Government Rules</t>
  </si>
  <si>
    <t xml:space="preserve">PURPOSE: Ask every factor the same questions so the quotes compare cleanly.</t>
  </si>
  <si>
    <t xml:space="preserve">#</t>
  </si>
  <si>
    <t xml:space="preserve">Question / rule</t>
  </si>
  <si>
    <t xml:space="preserve">Why it matters</t>
  </si>
  <si>
    <t xml:space="preserve">Ask</t>
  </si>
  <si>
    <t xml:space="preserve">What is the advance rate and the fee per 30 days (or per 10/15 days)?</t>
  </si>
  <si>
    <t xml:space="preserve">Drives the Cost Calculator. Get it in writing.</t>
  </si>
  <si>
    <t xml:space="preserve">Recourse or non-recourse? If non-recourse, what does it cover (client bankruptcy only)?</t>
  </si>
  <si>
    <t xml:space="preserve">With recourse, Handled buys back invoices the client never pays.</t>
  </si>
  <si>
    <t xml:space="preserve">Is there a monthly minimum volume, and a fee if we fall below it?</t>
  </si>
  <si>
    <t xml:space="preserve">Minimums punish slow months while we grow.</t>
  </si>
  <si>
    <t xml:space="preserve">How long is the contract, does it auto-renew, and what is the early-termination fee?</t>
  </si>
  <si>
    <t xml:space="preserve">Avoid 12-24 month lock-ins with large exit fees.</t>
  </si>
  <si>
    <t xml:space="preserve">Can we choose which invoices or clients to factor (spot / selective factoring)?</t>
  </si>
  <si>
    <t xml:space="preserve">Factor only slow payers (cities, large businesses); keep fast payers unfactored.</t>
  </si>
  <si>
    <t xml:space="preserve">All other fees: setup, due diligence, ACH/wire, credit checks, lockbox, invoice processing?</t>
  </si>
  <si>
    <t xml:space="preserve">Small fees can double the real cost.</t>
  </si>
  <si>
    <t xml:space="preserve">Do you fund federal, State of Michigan and City of Detroit / municipal invoices? Any you won't fund?</t>
  </si>
  <si>
    <t xml:space="preserve">Some factors avoid municipal or state receivables.</t>
  </si>
  <si>
    <t xml:space="preserve">Do you need a UCC-1 lien on all receivables or only factored invoices?</t>
  </si>
  <si>
    <t xml:space="preserve">A blanket lien can block a future bank loan.</t>
  </si>
  <si>
    <t xml:space="preserve">Can you fund the same day an invoice is approved by the client, to match our weekly pro payout run?</t>
  </si>
  <si>
    <t xml:space="preserve">The whole point is covering weekly payouts.</t>
  </si>
  <si>
    <t xml:space="preserve">Will you contact our clients? How (notification letter, collections calls)?</t>
  </si>
  <si>
    <t xml:space="preserve">Protect client relationships, especially with city buyers.</t>
  </si>
  <si>
    <t xml:space="preserve">Rule</t>
  </si>
  <si>
    <t xml:space="preserve">Federal contracts: an Assignment of Claims (Assignment of Claims Act / FAR 32.8) must be filed with the contracting officer and disbursing office.</t>
  </si>
  <si>
    <t xml:space="preserve">Without it the agency will not pay the factor.</t>
  </si>
  <si>
    <t xml:space="preserve">State and city contracts: read the assignment clause. Some prohibit assigning payments without written consent.</t>
  </si>
  <si>
    <t xml:space="preserve">Get consent first, or the factor may refuse the invoice.</t>
  </si>
  <si>
    <t xml:space="preserve">Prime vs. subcontractor: if Handled is a sub, the prime's credit and payment terms are what the factor underwrites.</t>
  </si>
  <si>
    <t xml:space="preserve">Expect questions about the prime contractor.</t>
  </si>
  <si>
    <t xml:space="preserve">Service Contract Act / Davis-Bacon wage rules still apply to factored contracts.</t>
  </si>
  <si>
    <t xml:space="preserve">Factoring changes when we get paid, not what we owe workers.</t>
  </si>
  <si>
    <t xml:space="preserve">Handled Services LLC: Sources</t>
  </si>
  <si>
    <t xml:space="preserve">PURPOSE: Where the company facts and market ranges came from (web search, 2026-10-06). Verify on each call.</t>
  </si>
  <si>
    <t xml:space="preserve">Source</t>
  </si>
  <si>
    <t xml:space="preserve">URL</t>
  </si>
  <si>
    <t xml:space="preserve">Advance Partners: Government staffing payroll funding</t>
  </si>
  <si>
    <t xml:space="preserve">https://www.advancepartners.com/payroll-funding/government-staffing/</t>
  </si>
  <si>
    <t xml:space="preserve">1st Commercial Credit: Government receivables</t>
  </si>
  <si>
    <t xml:space="preserve">https://www.1stcommercialcredit.com/financial-services/government-receivables</t>
  </si>
  <si>
    <t xml:space="preserve">1st Commercial Credit: Payroll funding for staffing</t>
  </si>
  <si>
    <t xml:space="preserve">https://www.1stcommercialcredit.com/blog/payroll-funding-staffing-agencies</t>
  </si>
  <si>
    <t xml:space="preserve">Porter Capital: Government invoice factoring</t>
  </si>
  <si>
    <t xml:space="preserve">https://portercap.com/government-invoice-factoring</t>
  </si>
  <si>
    <t xml:space="preserve">eCapital: Government contractor financing</t>
  </si>
  <si>
    <t xml:space="preserve">https://ecapital.com/blog/using-government-contractor-financing-to-bridge-cash-flow-gaps</t>
  </si>
  <si>
    <t xml:space="preserve">8A Factoring (brand profile)</t>
  </si>
  <si>
    <t xml:space="preserve">https://www.parse.gl/brands/8afactoring-com</t>
  </si>
  <si>
    <t xml:space="preserve">United Capital Source: Government receivables rates (0.69%-1.59%)</t>
  </si>
  <si>
    <t xml:space="preserve">https://www.unitedcapitalsource.com/?p=132379</t>
  </si>
  <si>
    <t xml:space="preserve">Summar: Funding weekly payroll on net-30 terms</t>
  </si>
  <si>
    <t xml:space="preserve">https://summar.com/?p=31563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</si>
</sst>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0%"/>
    <numFmt numFmtId="167" formatCode="yyyy\-mm\-dd"/>
    <numFmt numFmtId="168" formatCode="\$#,##0"/>
    <numFmt numFmtId="169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1"/>
      <color rgb="FF888888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EE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EEEEEE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advancepartners.com/payroll-funding/government-staffing/" TargetMode="External"/><Relationship Id="rId2" Type="http://schemas.openxmlformats.org/officeDocument/2006/relationships/hyperlink" Target="https://www.1stcommercialcredit.com/financial-services/government-receivables" TargetMode="External"/><Relationship Id="rId3" Type="http://schemas.openxmlformats.org/officeDocument/2006/relationships/hyperlink" Target="https://www.1stcommercialcredit.com/blog/payroll-funding-staffing-agencies" TargetMode="External"/><Relationship Id="rId4" Type="http://schemas.openxmlformats.org/officeDocument/2006/relationships/hyperlink" Target="https://portercap.com/government-invoice-factoring" TargetMode="External"/><Relationship Id="rId5" Type="http://schemas.openxmlformats.org/officeDocument/2006/relationships/hyperlink" Target="https://ecapital.com/blog/using-government-contractor-financing-to-bridge-cash-flow-gaps" TargetMode="External"/><Relationship Id="rId6" Type="http://schemas.openxmlformats.org/officeDocument/2006/relationships/hyperlink" Target="https://www.parse.gl/brands/8afactoring-com" TargetMode="External"/><Relationship Id="rId7" Type="http://schemas.openxmlformats.org/officeDocument/2006/relationships/hyperlink" Target="https://www.unitedcapitalsource.com/?p=132379" TargetMode="External"/><Relationship Id="rId8" Type="http://schemas.openxmlformats.org/officeDocument/2006/relationships/hyperlink" Target="https://summar.com/?p=3156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22"/>
    <col collapsed="false" customWidth="true" hidden="false" outlineLevel="0" max="13" min="13" style="0" width="26"/>
    <col collapsed="false" customWidth="true" hidden="false" outlineLevel="0" max="14" min="14" style="0" width="13"/>
    <col collapsed="false" customWidth="true" hidden="false" outlineLevel="0" max="15" min="15" style="0" width="16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6" customFormat="false" ht="39.5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  <c r="O6" s="4" t="s">
        <v>18</v>
      </c>
      <c r="P6" s="4" t="s">
        <v>19</v>
      </c>
    </row>
    <row r="7" customFormat="false" ht="48" hidden="false" customHeight="true" outlineLevel="0" collapsed="false">
      <c r="A7" s="5" t="s">
        <v>20</v>
      </c>
      <c r="B7" s="6" t="s">
        <v>21</v>
      </c>
      <c r="C7" s="6" t="s">
        <v>22</v>
      </c>
      <c r="D7" s="7"/>
      <c r="E7" s="8"/>
      <c r="F7" s="9"/>
      <c r="G7" s="7"/>
      <c r="H7" s="7"/>
      <c r="I7" s="7"/>
      <c r="J7" s="7"/>
      <c r="K7" s="7"/>
      <c r="L7" s="7"/>
      <c r="M7" s="7"/>
      <c r="N7" s="10"/>
      <c r="O7" s="7" t="s">
        <v>23</v>
      </c>
      <c r="P7" s="7"/>
    </row>
    <row r="8" customFormat="false" ht="48" hidden="false" customHeight="true" outlineLevel="0" collapsed="false">
      <c r="A8" s="5" t="s">
        <v>24</v>
      </c>
      <c r="B8" s="6" t="s">
        <v>25</v>
      </c>
      <c r="C8" s="6" t="s">
        <v>26</v>
      </c>
      <c r="D8" s="7"/>
      <c r="E8" s="8"/>
      <c r="F8" s="9"/>
      <c r="G8" s="7"/>
      <c r="H8" s="7"/>
      <c r="I8" s="7"/>
      <c r="J8" s="7"/>
      <c r="K8" s="7"/>
      <c r="L8" s="7"/>
      <c r="M8" s="7"/>
      <c r="N8" s="10"/>
      <c r="O8" s="7" t="s">
        <v>23</v>
      </c>
      <c r="P8" s="7"/>
    </row>
    <row r="9" customFormat="false" ht="48" hidden="false" customHeight="true" outlineLevel="0" collapsed="false">
      <c r="A9" s="5" t="s">
        <v>27</v>
      </c>
      <c r="B9" s="6" t="s">
        <v>28</v>
      </c>
      <c r="C9" s="6" t="s">
        <v>29</v>
      </c>
      <c r="D9" s="7"/>
      <c r="E9" s="8"/>
      <c r="F9" s="9"/>
      <c r="G9" s="7"/>
      <c r="H9" s="7"/>
      <c r="I9" s="7"/>
      <c r="J9" s="7"/>
      <c r="K9" s="7"/>
      <c r="L9" s="7"/>
      <c r="M9" s="7"/>
      <c r="N9" s="10"/>
      <c r="O9" s="7" t="s">
        <v>23</v>
      </c>
      <c r="P9" s="7"/>
    </row>
    <row r="10" customFormat="false" ht="48" hidden="false" customHeight="true" outlineLevel="0" collapsed="false">
      <c r="A10" s="5" t="s">
        <v>30</v>
      </c>
      <c r="B10" s="6" t="s">
        <v>31</v>
      </c>
      <c r="C10" s="6" t="s">
        <v>32</v>
      </c>
      <c r="D10" s="7"/>
      <c r="E10" s="8"/>
      <c r="F10" s="9"/>
      <c r="G10" s="7"/>
      <c r="H10" s="7"/>
      <c r="I10" s="7"/>
      <c r="J10" s="7"/>
      <c r="K10" s="7"/>
      <c r="L10" s="7"/>
      <c r="M10" s="7"/>
      <c r="N10" s="10"/>
      <c r="O10" s="7" t="s">
        <v>23</v>
      </c>
      <c r="P10" s="7"/>
    </row>
    <row r="11" customFormat="false" ht="48" hidden="false" customHeight="true" outlineLevel="0" collapsed="false">
      <c r="A11" s="5" t="s">
        <v>33</v>
      </c>
      <c r="B11" s="6" t="s">
        <v>34</v>
      </c>
      <c r="C11" s="6" t="s">
        <v>35</v>
      </c>
      <c r="D11" s="7"/>
      <c r="E11" s="8"/>
      <c r="F11" s="9"/>
      <c r="G11" s="7"/>
      <c r="H11" s="7"/>
      <c r="I11" s="7"/>
      <c r="J11" s="7"/>
      <c r="K11" s="7"/>
      <c r="L11" s="7"/>
      <c r="M11" s="7"/>
      <c r="N11" s="10"/>
      <c r="O11" s="7" t="s">
        <v>23</v>
      </c>
      <c r="P11" s="7"/>
    </row>
    <row r="12" customFormat="false" ht="15" hidden="false" customHeight="false" outlineLevel="0" collapsed="false">
      <c r="A12" s="11" t="s">
        <v>36</v>
      </c>
    </row>
    <row r="13" customFormat="false" ht="26.85" hidden="false" customHeight="false" outlineLevel="0" collapsed="false">
      <c r="A13" s="12" t="s">
        <v>37</v>
      </c>
      <c r="B13" s="12" t="s">
        <v>38</v>
      </c>
      <c r="C13" s="12" t="s">
        <v>39</v>
      </c>
      <c r="D13" s="12" t="s">
        <v>40</v>
      </c>
      <c r="E13" s="13" t="n">
        <v>0.85</v>
      </c>
      <c r="F13" s="14" t="n">
        <v>0.015</v>
      </c>
      <c r="G13" s="12" t="n">
        <v>2</v>
      </c>
      <c r="H13" s="12" t="s">
        <v>41</v>
      </c>
      <c r="I13" s="12" t="s">
        <v>42</v>
      </c>
      <c r="J13" s="12" t="s">
        <v>43</v>
      </c>
      <c r="K13" s="12" t="s">
        <v>44</v>
      </c>
      <c r="L13" s="12" t="s">
        <v>45</v>
      </c>
      <c r="M13" s="12" t="s">
        <v>46</v>
      </c>
      <c r="N13" s="12"/>
      <c r="O13" s="12" t="s">
        <v>47</v>
      </c>
      <c r="P13" s="12" t="s">
        <v>48</v>
      </c>
    </row>
    <row r="15" customFormat="false" ht="15" hidden="false" customHeight="false" outlineLevel="0" collapsed="false">
      <c r="A15" s="1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6" min="5" style="0" width="16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51</v>
      </c>
    </row>
    <row r="4" customFormat="false" ht="15" hidden="false" customHeight="false" outlineLevel="0" collapsed="false">
      <c r="A4" s="3" t="s">
        <v>52</v>
      </c>
    </row>
    <row r="6" customFormat="false" ht="15" hidden="false" customHeight="false" outlineLevel="0" collapsed="false">
      <c r="A6" s="16" t="s">
        <v>53</v>
      </c>
      <c r="B6" s="17" t="n">
        <v>50000</v>
      </c>
      <c r="C6" s="11" t="s">
        <v>54</v>
      </c>
    </row>
    <row r="7" customFormat="false" ht="15" hidden="false" customHeight="false" outlineLevel="0" collapsed="false">
      <c r="A7" s="16" t="s">
        <v>55</v>
      </c>
      <c r="B7" s="18" t="n">
        <v>30</v>
      </c>
      <c r="C7" s="11" t="s">
        <v>56</v>
      </c>
    </row>
    <row r="8" customFormat="false" ht="15" hidden="false" customHeight="false" outlineLevel="0" collapsed="false">
      <c r="A8" s="16" t="s">
        <v>57</v>
      </c>
      <c r="B8" s="18" t="n">
        <v>30</v>
      </c>
      <c r="C8" s="11" t="s">
        <v>58</v>
      </c>
    </row>
    <row r="9" customFormat="false" ht="15" hidden="false" customHeight="false" outlineLevel="0" collapsed="false">
      <c r="A9" s="16" t="s">
        <v>59</v>
      </c>
      <c r="B9" s="17" t="n">
        <v>0</v>
      </c>
      <c r="C9" s="11" t="s">
        <v>60</v>
      </c>
    </row>
    <row r="11" customFormat="false" ht="26.85" hidden="false" customHeight="false" outlineLevel="0" collapsed="false">
      <c r="A11" s="4" t="s">
        <v>4</v>
      </c>
      <c r="B11" s="4" t="s">
        <v>61</v>
      </c>
      <c r="C11" s="4" t="s">
        <v>62</v>
      </c>
      <c r="D11" s="4" t="s">
        <v>63</v>
      </c>
      <c r="E11" s="4" t="s">
        <v>64</v>
      </c>
      <c r="F11" s="4" t="s">
        <v>65</v>
      </c>
      <c r="G11" s="4" t="s">
        <v>66</v>
      </c>
      <c r="H11" s="4" t="s">
        <v>67</v>
      </c>
      <c r="I11" s="4" t="s">
        <v>68</v>
      </c>
      <c r="J11" s="4" t="s">
        <v>69</v>
      </c>
    </row>
    <row r="12" customFormat="false" ht="15" hidden="false" customHeight="false" outlineLevel="0" collapsed="false">
      <c r="A12" s="19" t="str">
        <f aca="false">Comparison!A7</f>
        <v>Advance Partners</v>
      </c>
      <c r="B12" s="20" t="str">
        <f aca="false">IF(Comparison!E7="","",Comparison!E7)</f>
        <v/>
      </c>
      <c r="C12" s="21" t="str">
        <f aca="false">IF(Comparison!F7="","",Comparison!F7)</f>
        <v/>
      </c>
      <c r="D12" s="22" t="n">
        <f aca="false">IF($B$8&gt;0,CEILING($B$7/$B$8,1),0)</f>
        <v>1</v>
      </c>
      <c r="E12" s="23" t="str">
        <f aca="false">IF(OR(B12="",C12=""),"Awaiting quote",$B$6*B12)</f>
        <v>Awaiting quote</v>
      </c>
      <c r="F12" s="23" t="str">
        <f aca="false">IF(OR(B12="",C12=""),"Awaiting quote",$B$6*C12*D12)</f>
        <v>Awaiting quote</v>
      </c>
      <c r="G12" s="23" t="str">
        <f aca="false">IF(OR(B12="",C12=""),"Awaiting quote",F12+$B$9)</f>
        <v>Awaiting quote</v>
      </c>
      <c r="H12" s="24" t="str">
        <f aca="false">IF(OR(OR(B12="",C12=""),$B$6=0),"",G12/$B$6)</f>
        <v/>
      </c>
      <c r="I12" s="25" t="str">
        <f aca="false">IF(OR(OR(B12="",C12=""),$B$7=0,B12=0),"",(G12/E12)*(365/$B$7))</f>
        <v/>
      </c>
      <c r="J12" s="23" t="str">
        <f aca="false">IF(OR(B12="",C12=""),"Awaiting quote",$B$6-E12-G12)</f>
        <v>Awaiting quote</v>
      </c>
    </row>
    <row r="13" customFormat="false" ht="15" hidden="false" customHeight="false" outlineLevel="0" collapsed="false">
      <c r="A13" s="19" t="str">
        <f aca="false">Comparison!A8</f>
        <v>1st Commercial Credit</v>
      </c>
      <c r="B13" s="20" t="str">
        <f aca="false">IF(Comparison!E8="","",Comparison!E8)</f>
        <v/>
      </c>
      <c r="C13" s="21" t="str">
        <f aca="false">IF(Comparison!F8="","",Comparison!F8)</f>
        <v/>
      </c>
      <c r="D13" s="22" t="n">
        <f aca="false">IF($B$8&gt;0,CEILING($B$7/$B$8,1),0)</f>
        <v>1</v>
      </c>
      <c r="E13" s="23" t="str">
        <f aca="false">IF(OR(B13="",C13=""),"Awaiting quote",$B$6*B13)</f>
        <v>Awaiting quote</v>
      </c>
      <c r="F13" s="23" t="str">
        <f aca="false">IF(OR(B13="",C13=""),"Awaiting quote",$B$6*C13*D13)</f>
        <v>Awaiting quote</v>
      </c>
      <c r="G13" s="23" t="str">
        <f aca="false">IF(OR(B13="",C13=""),"Awaiting quote",F13+$B$9)</f>
        <v>Awaiting quote</v>
      </c>
      <c r="H13" s="24" t="str">
        <f aca="false">IF(OR(OR(B13="",C13=""),$B$6=0),"",G13/$B$6)</f>
        <v/>
      </c>
      <c r="I13" s="25" t="str">
        <f aca="false">IF(OR(OR(B13="",C13=""),$B$7=0,B13=0),"",(G13/E13)*(365/$B$7))</f>
        <v/>
      </c>
      <c r="J13" s="23" t="str">
        <f aca="false">IF(OR(B13="",C13=""),"Awaiting quote",$B$6-E13-G13)</f>
        <v>Awaiting quote</v>
      </c>
    </row>
    <row r="14" customFormat="false" ht="15" hidden="false" customHeight="false" outlineLevel="0" collapsed="false">
      <c r="A14" s="19" t="str">
        <f aca="false">Comparison!A9</f>
        <v>Porter Capital</v>
      </c>
      <c r="B14" s="20" t="str">
        <f aca="false">IF(Comparison!E9="","",Comparison!E9)</f>
        <v/>
      </c>
      <c r="C14" s="21" t="str">
        <f aca="false">IF(Comparison!F9="","",Comparison!F9)</f>
        <v/>
      </c>
      <c r="D14" s="22" t="n">
        <f aca="false">IF($B$8&gt;0,CEILING($B$7/$B$8,1),0)</f>
        <v>1</v>
      </c>
      <c r="E14" s="23" t="str">
        <f aca="false">IF(OR(B14="",C14=""),"Awaiting quote",$B$6*B14)</f>
        <v>Awaiting quote</v>
      </c>
      <c r="F14" s="23" t="str">
        <f aca="false">IF(OR(B14="",C14=""),"Awaiting quote",$B$6*C14*D14)</f>
        <v>Awaiting quote</v>
      </c>
      <c r="G14" s="23" t="str">
        <f aca="false">IF(OR(B14="",C14=""),"Awaiting quote",F14+$B$9)</f>
        <v>Awaiting quote</v>
      </c>
      <c r="H14" s="24" t="str">
        <f aca="false">IF(OR(OR(B14="",C14=""),$B$6=0),"",G14/$B$6)</f>
        <v/>
      </c>
      <c r="I14" s="25" t="str">
        <f aca="false">IF(OR(OR(B14="",C14=""),$B$7=0,B14=0),"",(G14/E14)*(365/$B$7))</f>
        <v/>
      </c>
      <c r="J14" s="23" t="str">
        <f aca="false">IF(OR(B14="",C14=""),"Awaiting quote",$B$6-E14-G14)</f>
        <v>Awaiting quote</v>
      </c>
    </row>
    <row r="15" customFormat="false" ht="15" hidden="false" customHeight="false" outlineLevel="0" collapsed="false">
      <c r="A15" s="19" t="str">
        <f aca="false">Comparison!A10</f>
        <v>eCapital</v>
      </c>
      <c r="B15" s="20" t="str">
        <f aca="false">IF(Comparison!E10="","",Comparison!E10)</f>
        <v/>
      </c>
      <c r="C15" s="21" t="str">
        <f aca="false">IF(Comparison!F10="","",Comparison!F10)</f>
        <v/>
      </c>
      <c r="D15" s="22" t="n">
        <f aca="false">IF($B$8&gt;0,CEILING($B$7/$B$8,1),0)</f>
        <v>1</v>
      </c>
      <c r="E15" s="23" t="str">
        <f aca="false">IF(OR(B15="",C15=""),"Awaiting quote",$B$6*B15)</f>
        <v>Awaiting quote</v>
      </c>
      <c r="F15" s="23" t="str">
        <f aca="false">IF(OR(B15="",C15=""),"Awaiting quote",$B$6*C15*D15)</f>
        <v>Awaiting quote</v>
      </c>
      <c r="G15" s="23" t="str">
        <f aca="false">IF(OR(B15="",C15=""),"Awaiting quote",F15+$B$9)</f>
        <v>Awaiting quote</v>
      </c>
      <c r="H15" s="24" t="str">
        <f aca="false">IF(OR(OR(B15="",C15=""),$B$6=0),"",G15/$B$6)</f>
        <v/>
      </c>
      <c r="I15" s="25" t="str">
        <f aca="false">IF(OR(OR(B15="",C15=""),$B$7=0,B15=0),"",(G15/E15)*(365/$B$7))</f>
        <v/>
      </c>
      <c r="J15" s="23" t="str">
        <f aca="false">IF(OR(B15="",C15=""),"Awaiting quote",$B$6-E15-G15)</f>
        <v>Awaiting quote</v>
      </c>
    </row>
    <row r="16" customFormat="false" ht="15" hidden="false" customHeight="false" outlineLevel="0" collapsed="false">
      <c r="A16" s="19" t="str">
        <f aca="false">Comparison!A11</f>
        <v>8A Factoring</v>
      </c>
      <c r="B16" s="20" t="str">
        <f aca="false">IF(Comparison!E11="","",Comparison!E11)</f>
        <v/>
      </c>
      <c r="C16" s="21" t="str">
        <f aca="false">IF(Comparison!F11="","",Comparison!F11)</f>
        <v/>
      </c>
      <c r="D16" s="22" t="n">
        <f aca="false">IF($B$8&gt;0,CEILING($B$7/$B$8,1),0)</f>
        <v>1</v>
      </c>
      <c r="E16" s="23" t="str">
        <f aca="false">IF(OR(B16="",C16=""),"Awaiting quote",$B$6*B16)</f>
        <v>Awaiting quote</v>
      </c>
      <c r="F16" s="23" t="str">
        <f aca="false">IF(OR(B16="",C16=""),"Awaiting quote",$B$6*C16*D16)</f>
        <v>Awaiting quote</v>
      </c>
      <c r="G16" s="23" t="str">
        <f aca="false">IF(OR(B16="",C16=""),"Awaiting quote",F16+$B$9)</f>
        <v>Awaiting quote</v>
      </c>
      <c r="H16" s="24" t="str">
        <f aca="false">IF(OR(OR(B16="",C16=""),$B$6=0),"",G16/$B$6)</f>
        <v/>
      </c>
      <c r="I16" s="25" t="str">
        <f aca="false">IF(OR(OR(B16="",C16=""),$B$7=0,B16=0),"",(G16/E16)*(365/$B$7))</f>
        <v/>
      </c>
      <c r="J16" s="23" t="str">
        <f aca="false">IF(OR(B16="",C16=""),"Awaiting quote",$B$6-E16-G16)</f>
        <v>Awaiting quote</v>
      </c>
    </row>
    <row r="18" customFormat="false" ht="15" hidden="false" customHeight="false" outlineLevel="0" collapsed="false">
      <c r="A18" s="26" t="s">
        <v>70</v>
      </c>
      <c r="B18" s="27" t="n">
        <v>0.85</v>
      </c>
      <c r="C18" s="28" t="n">
        <v>0.015</v>
      </c>
      <c r="D18" s="29" t="n">
        <f aca="false">IF($B$8&gt;0,CEILING($B$7/$B$8,1),0)</f>
        <v>1</v>
      </c>
      <c r="E18" s="30" t="n">
        <f aca="false">$B$6*B18</f>
        <v>42500</v>
      </c>
      <c r="F18" s="30" t="n">
        <f aca="false">$B$6*C18*D18</f>
        <v>750</v>
      </c>
      <c r="G18" s="30" t="n">
        <f aca="false">F18+$B$9</f>
        <v>750</v>
      </c>
      <c r="H18" s="28" t="n">
        <f aca="false">IF($B$6=0,"",G18/$B$6)</f>
        <v>0.015</v>
      </c>
      <c r="I18" s="27" t="n">
        <f aca="false">IF(OR($B$7=0,E18=0),"",(G18/E18)*(365/$B$7))</f>
        <v>0.214705882352941</v>
      </c>
      <c r="J18" s="30" t="n">
        <f aca="false">$B$6-E18-G18</f>
        <v>6750</v>
      </c>
    </row>
    <row r="20" customFormat="false" ht="15" hidden="false" customHeight="false" outlineLevel="0" collapsed="false">
      <c r="A20" s="15" t="s">
        <v>71</v>
      </c>
    </row>
    <row r="21" customFormat="false" ht="15" hidden="false" customHeight="false" outlineLevel="0" collapsed="false">
      <c r="A21" s="15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70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74</v>
      </c>
    </row>
    <row r="5" customFormat="false" ht="15" hidden="false" customHeight="false" outlineLevel="0" collapsed="false">
      <c r="A5" s="4" t="s">
        <v>75</v>
      </c>
      <c r="B5" s="4" t="s">
        <v>76</v>
      </c>
      <c r="C5" s="4" t="s">
        <v>77</v>
      </c>
    </row>
    <row r="6" customFormat="false" ht="31.5" hidden="false" customHeight="true" outlineLevel="0" collapsed="false">
      <c r="A6" s="31" t="s">
        <v>78</v>
      </c>
      <c r="B6" s="31" t="s">
        <v>79</v>
      </c>
      <c r="C6" s="31" t="s">
        <v>80</v>
      </c>
    </row>
    <row r="7" customFormat="false" ht="31.5" hidden="false" customHeight="true" outlineLevel="0" collapsed="false">
      <c r="A7" s="31" t="s">
        <v>78</v>
      </c>
      <c r="B7" s="31" t="s">
        <v>81</v>
      </c>
      <c r="C7" s="31" t="s">
        <v>82</v>
      </c>
    </row>
    <row r="8" customFormat="false" ht="31.5" hidden="false" customHeight="true" outlineLevel="0" collapsed="false">
      <c r="A8" s="31" t="s">
        <v>78</v>
      </c>
      <c r="B8" s="31" t="s">
        <v>83</v>
      </c>
      <c r="C8" s="31" t="s">
        <v>84</v>
      </c>
    </row>
    <row r="9" customFormat="false" ht="31.5" hidden="false" customHeight="true" outlineLevel="0" collapsed="false">
      <c r="A9" s="31" t="s">
        <v>78</v>
      </c>
      <c r="B9" s="31" t="s">
        <v>85</v>
      </c>
      <c r="C9" s="31" t="s">
        <v>86</v>
      </c>
    </row>
    <row r="10" customFormat="false" ht="31.5" hidden="false" customHeight="true" outlineLevel="0" collapsed="false">
      <c r="A10" s="31" t="s">
        <v>78</v>
      </c>
      <c r="B10" s="31" t="s">
        <v>87</v>
      </c>
      <c r="C10" s="31" t="s">
        <v>88</v>
      </c>
    </row>
    <row r="11" customFormat="false" ht="31.5" hidden="false" customHeight="true" outlineLevel="0" collapsed="false">
      <c r="A11" s="31" t="s">
        <v>78</v>
      </c>
      <c r="B11" s="31" t="s">
        <v>89</v>
      </c>
      <c r="C11" s="31" t="s">
        <v>90</v>
      </c>
    </row>
    <row r="12" customFormat="false" ht="31.5" hidden="false" customHeight="true" outlineLevel="0" collapsed="false">
      <c r="A12" s="31" t="s">
        <v>78</v>
      </c>
      <c r="B12" s="31" t="s">
        <v>91</v>
      </c>
      <c r="C12" s="31" t="s">
        <v>92</v>
      </c>
    </row>
    <row r="13" customFormat="false" ht="31.5" hidden="false" customHeight="true" outlineLevel="0" collapsed="false">
      <c r="A13" s="31" t="s">
        <v>78</v>
      </c>
      <c r="B13" s="31" t="s">
        <v>93</v>
      </c>
      <c r="C13" s="31" t="s">
        <v>94</v>
      </c>
    </row>
    <row r="14" customFormat="false" ht="31.5" hidden="false" customHeight="true" outlineLevel="0" collapsed="false">
      <c r="A14" s="31" t="s">
        <v>78</v>
      </c>
      <c r="B14" s="31" t="s">
        <v>95</v>
      </c>
      <c r="C14" s="31" t="s">
        <v>96</v>
      </c>
    </row>
    <row r="15" customFormat="false" ht="31.5" hidden="false" customHeight="true" outlineLevel="0" collapsed="false">
      <c r="A15" s="31" t="s">
        <v>78</v>
      </c>
      <c r="B15" s="31" t="s">
        <v>97</v>
      </c>
      <c r="C15" s="31" t="s">
        <v>98</v>
      </c>
    </row>
    <row r="16" customFormat="false" ht="31.5" hidden="false" customHeight="true" outlineLevel="0" collapsed="false">
      <c r="A16" s="31" t="s">
        <v>99</v>
      </c>
      <c r="B16" s="31" t="s">
        <v>100</v>
      </c>
      <c r="C16" s="31" t="s">
        <v>101</v>
      </c>
    </row>
    <row r="17" customFormat="false" ht="31.5" hidden="false" customHeight="true" outlineLevel="0" collapsed="false">
      <c r="A17" s="31" t="s">
        <v>99</v>
      </c>
      <c r="B17" s="31" t="s">
        <v>102</v>
      </c>
      <c r="C17" s="31" t="s">
        <v>103</v>
      </c>
    </row>
    <row r="18" customFormat="false" ht="31.5" hidden="false" customHeight="true" outlineLevel="0" collapsed="false">
      <c r="A18" s="31" t="s">
        <v>99</v>
      </c>
      <c r="B18" s="31" t="s">
        <v>104</v>
      </c>
      <c r="C18" s="31" t="s">
        <v>105</v>
      </c>
    </row>
    <row r="19" customFormat="false" ht="31.5" hidden="false" customHeight="true" outlineLevel="0" collapsed="false">
      <c r="A19" s="31" t="s">
        <v>99</v>
      </c>
      <c r="B19" s="31" t="s">
        <v>106</v>
      </c>
      <c r="C19" s="31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109</v>
      </c>
    </row>
    <row r="5" customFormat="false" ht="15" hidden="false" customHeight="false" outlineLevel="0" collapsed="false">
      <c r="A5" s="4" t="s">
        <v>110</v>
      </c>
      <c r="B5" s="4" t="s">
        <v>111</v>
      </c>
    </row>
    <row r="6" customFormat="false" ht="15" hidden="false" customHeight="false" outlineLevel="0" collapsed="false">
      <c r="A6" s="32" t="s">
        <v>112</v>
      </c>
      <c r="B6" s="33" t="s">
        <v>113</v>
      </c>
    </row>
    <row r="7" customFormat="false" ht="15" hidden="false" customHeight="false" outlineLevel="0" collapsed="false">
      <c r="A7" s="32" t="s">
        <v>114</v>
      </c>
      <c r="B7" s="33" t="s">
        <v>115</v>
      </c>
    </row>
    <row r="8" customFormat="false" ht="15" hidden="false" customHeight="false" outlineLevel="0" collapsed="false">
      <c r="A8" s="32" t="s">
        <v>116</v>
      </c>
      <c r="B8" s="33" t="s">
        <v>117</v>
      </c>
    </row>
    <row r="9" customFormat="false" ht="15" hidden="false" customHeight="false" outlineLevel="0" collapsed="false">
      <c r="A9" s="32" t="s">
        <v>118</v>
      </c>
      <c r="B9" s="33" t="s">
        <v>119</v>
      </c>
    </row>
    <row r="10" customFormat="false" ht="15" hidden="false" customHeight="false" outlineLevel="0" collapsed="false">
      <c r="A10" s="32" t="s">
        <v>120</v>
      </c>
      <c r="B10" s="33" t="s">
        <v>121</v>
      </c>
    </row>
    <row r="11" customFormat="false" ht="15" hidden="false" customHeight="false" outlineLevel="0" collapsed="false">
      <c r="A11" s="32" t="s">
        <v>122</v>
      </c>
      <c r="B11" s="33" t="s">
        <v>123</v>
      </c>
    </row>
    <row r="12" customFormat="false" ht="15" hidden="false" customHeight="false" outlineLevel="0" collapsed="false">
      <c r="A12" s="32" t="s">
        <v>124</v>
      </c>
      <c r="B12" s="33" t="s">
        <v>125</v>
      </c>
    </row>
    <row r="13" customFormat="false" ht="15" hidden="false" customHeight="false" outlineLevel="0" collapsed="false">
      <c r="A13" s="32" t="s">
        <v>126</v>
      </c>
      <c r="B13" s="33" t="s">
        <v>127</v>
      </c>
    </row>
  </sheetData>
  <hyperlinks>
    <hyperlink ref="B6" r:id="rId1" display="https://www.advancepartners.com/payroll-funding/government-staffing/"/>
    <hyperlink ref="B7" r:id="rId2" display="https://www.1stcommercialcredit.com/financial-services/government-receivables"/>
    <hyperlink ref="B8" r:id="rId3" display="https://www.1stcommercialcredit.com/blog/payroll-funding-staffing-agencies"/>
    <hyperlink ref="B9" r:id="rId4" display="https://portercap.com/government-invoice-factoring"/>
    <hyperlink ref="B10" r:id="rId5" display="https://ecapital.com/blog/using-government-contractor-financing-to-bridge-cash-flow-gaps"/>
    <hyperlink ref="B11" r:id="rId6" display="https://www.parse.gl/brands/8afactoring-com"/>
    <hyperlink ref="B12" r:id="rId7" display="https://www.unitedcapitalsource.com/?p=132379"/>
    <hyperlink ref="B13" r:id="rId8" display="https://summar.com/?p=3156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2026-10-06T03:21:29Z</dcterms:created>
  <dc:creator>openpyxl</dc:creator>
  <dc:description/>
  <dc:language>en-US</dc:language>
  <cp:lastModifiedBy/>
  <dcterms:modified xsi:type="dcterms:W3CDTF">2026-10-06T03:21:29Z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